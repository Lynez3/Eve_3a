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ar\Desktop\3a doc\"/>
    </mc:Choice>
  </mc:AlternateContent>
  <xr:revisionPtr revIDLastSave="0" documentId="13_ncr:1_{6D9ACAB3-2A02-447F-B903-8EE026213D03}" xr6:coauthVersionLast="47" xr6:coauthVersionMax="47" xr10:uidLastSave="{00000000-0000-0000-0000-000000000000}"/>
  <bookViews>
    <workbookView xWindow="1152" yWindow="1152" windowWidth="17280" windowHeight="8880" activeTab="3" xr2:uid="{9E9E26EC-6B29-449B-9C22-0A50865BA70C}"/>
  </bookViews>
  <sheets>
    <sheet name="TEST1" sheetId="1" r:id="rId1"/>
    <sheet name="TEST2" sheetId="2" r:id="rId2"/>
    <sheet name="TEST3" sheetId="3" r:id="rId3"/>
    <sheet name="TES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" i="4" l="1"/>
  <c r="N25" i="4"/>
  <c r="Q25" i="4" s="1"/>
  <c r="R25" i="4" s="1"/>
  <c r="P24" i="4"/>
  <c r="L27" i="4" s="1"/>
  <c r="L31" i="4" s="1"/>
  <c r="P25" i="3"/>
  <c r="N25" i="3"/>
  <c r="Q25" i="3" s="1"/>
  <c r="R25" i="3" s="1"/>
  <c r="P24" i="3"/>
  <c r="L27" i="3" s="1"/>
  <c r="L31" i="3" s="1"/>
  <c r="L31" i="2"/>
  <c r="P25" i="2"/>
  <c r="N25" i="2"/>
  <c r="Q25" i="2" s="1"/>
  <c r="R25" i="2" s="1"/>
  <c r="P24" i="2"/>
  <c r="L31" i="1"/>
  <c r="L27" i="1"/>
  <c r="R25" i="1"/>
  <c r="Q25" i="1"/>
  <c r="P25" i="1"/>
  <c r="N25" i="1"/>
  <c r="P24" i="1"/>
  <c r="G19" i="4"/>
  <c r="E16" i="4"/>
  <c r="D16" i="4"/>
  <c r="E15" i="4"/>
  <c r="D15" i="4"/>
  <c r="H14" i="4"/>
  <c r="G14" i="4"/>
  <c r="F14" i="4"/>
  <c r="H13" i="4"/>
  <c r="G13" i="4"/>
  <c r="F13" i="4"/>
  <c r="H12" i="4"/>
  <c r="G12" i="4"/>
  <c r="F12" i="4"/>
  <c r="H11" i="4"/>
  <c r="G11" i="4"/>
  <c r="F11" i="4"/>
  <c r="H10" i="4"/>
  <c r="G10" i="4"/>
  <c r="F10" i="4"/>
  <c r="H9" i="4"/>
  <c r="G9" i="4"/>
  <c r="F9" i="4"/>
  <c r="H8" i="4"/>
  <c r="G8" i="4"/>
  <c r="F8" i="4"/>
  <c r="H7" i="4"/>
  <c r="G7" i="4"/>
  <c r="F7" i="4"/>
  <c r="H6" i="4"/>
  <c r="G6" i="4"/>
  <c r="F6" i="4"/>
  <c r="H5" i="4"/>
  <c r="G5" i="4"/>
  <c r="F5" i="4"/>
  <c r="F15" i="4" s="1"/>
  <c r="D30" i="3"/>
  <c r="E30" i="3"/>
  <c r="E30" i="2"/>
  <c r="D22" i="2"/>
  <c r="F6" i="3"/>
  <c r="F7" i="3"/>
  <c r="F8" i="3"/>
  <c r="F9" i="3"/>
  <c r="F10" i="3"/>
  <c r="F11" i="3"/>
  <c r="F12" i="3"/>
  <c r="F13" i="3"/>
  <c r="F14" i="3"/>
  <c r="F5" i="3"/>
  <c r="D31" i="3"/>
  <c r="G19" i="3"/>
  <c r="E16" i="3"/>
  <c r="D16" i="3"/>
  <c r="E15" i="3"/>
  <c r="D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6" i="2"/>
  <c r="H7" i="2"/>
  <c r="H8" i="2"/>
  <c r="H9" i="2"/>
  <c r="H10" i="2"/>
  <c r="H11" i="2"/>
  <c r="H12" i="2"/>
  <c r="H13" i="2"/>
  <c r="H14" i="2"/>
  <c r="H5" i="2"/>
  <c r="G6" i="2"/>
  <c r="G15" i="2" s="1"/>
  <c r="G7" i="2"/>
  <c r="G8" i="2"/>
  <c r="G9" i="2"/>
  <c r="G10" i="2"/>
  <c r="G11" i="2"/>
  <c r="G12" i="2"/>
  <c r="G13" i="2"/>
  <c r="G14" i="2"/>
  <c r="G5" i="2"/>
  <c r="G19" i="2"/>
  <c r="E16" i="2"/>
  <c r="D16" i="2"/>
  <c r="F15" i="2"/>
  <c r="E15" i="2"/>
  <c r="D15" i="2"/>
  <c r="D31" i="1"/>
  <c r="D26" i="1"/>
  <c r="E25" i="1"/>
  <c r="D22" i="1"/>
  <c r="G20" i="1"/>
  <c r="E20" i="1"/>
  <c r="G19" i="1"/>
  <c r="F15" i="1"/>
  <c r="G15" i="1"/>
  <c r="H15" i="1"/>
  <c r="E15" i="1"/>
  <c r="D15" i="1"/>
  <c r="E16" i="1"/>
  <c r="D16" i="1"/>
  <c r="L27" i="2" l="1"/>
  <c r="G15" i="4"/>
  <c r="H15" i="4"/>
  <c r="E20" i="4"/>
  <c r="G20" i="4" s="1"/>
  <c r="E30" i="4" s="1"/>
  <c r="D22" i="4"/>
  <c r="E25" i="4" s="1"/>
  <c r="F15" i="3"/>
  <c r="H15" i="3"/>
  <c r="G15" i="3"/>
  <c r="E20" i="3"/>
  <c r="G20" i="3" s="1"/>
  <c r="D22" i="3" s="1"/>
  <c r="E25" i="3" s="1"/>
  <c r="D26" i="3" s="1"/>
  <c r="H15" i="2"/>
  <c r="E20" i="2"/>
  <c r="G20" i="2" s="1"/>
  <c r="E25" i="2" s="1"/>
  <c r="D30" i="4" l="1"/>
  <c r="D31" i="4" s="1"/>
  <c r="D26" i="4"/>
  <c r="D30" i="2"/>
  <c r="D31" i="2" s="1"/>
  <c r="D26" i="2"/>
</calcChain>
</file>

<file path=xl/sharedStrings.xml><?xml version="1.0" encoding="utf-8"?>
<sst xmlns="http://schemas.openxmlformats.org/spreadsheetml/2006/main" count="72" uniqueCount="17">
  <si>
    <t>n</t>
  </si>
  <si>
    <t>x</t>
  </si>
  <si>
    <t>y</t>
  </si>
  <si>
    <t>Total</t>
  </si>
  <si>
    <t>x*x</t>
  </si>
  <si>
    <t>x*y</t>
  </si>
  <si>
    <t xml:space="preserve">y*y </t>
  </si>
  <si>
    <t>B1</t>
  </si>
  <si>
    <t>B1=</t>
  </si>
  <si>
    <t>B0</t>
  </si>
  <si>
    <t>B0=</t>
  </si>
  <si>
    <t>Yk=</t>
  </si>
  <si>
    <t>Xk=</t>
  </si>
  <si>
    <t>VALOR A PREDECIR</t>
  </si>
  <si>
    <t>RXY</t>
  </si>
  <si>
    <t>RXY=</t>
  </si>
  <si>
    <t>R*R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</si>
</sst>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theme="3" tint="0.499984740745262"/>
      </left>
      <right style="medium">
        <color theme="3" tint="0.499984740745262"/>
      </right>
      <top style="medium">
        <color theme="3" tint="0.499984740745262"/>
      </top>
      <bottom style="medium">
        <color theme="3" tint="0.499984740745262"/>
      </bottom>
      <diagonal/>
    </border>
    <border>
      <left/>
      <right/>
      <top/>
      <bottom style="medium">
        <color theme="3" tint="0.499984740745262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5" tint="-0.249977111117893"/>
      </left>
      <right style="medium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  <border>
      <left style="medium">
        <color theme="3" tint="0.249977111117893"/>
      </left>
      <right style="medium">
        <color theme="3" tint="0.249977111117893"/>
      </right>
      <top style="medium">
        <color theme="3" tint="0.249977111117893"/>
      </top>
      <bottom style="medium">
        <color theme="3" tint="0.249977111117893"/>
      </bottom>
      <diagonal/>
    </border>
    <border>
      <left style="medium">
        <color theme="3" tint="0.249977111117893"/>
      </left>
      <right style="medium">
        <color theme="3" tint="0.249977111117893"/>
      </right>
      <top style="medium">
        <color theme="3" tint="0.249977111117893"/>
      </top>
      <bottom/>
      <diagonal/>
    </border>
    <border>
      <left style="medium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5" tint="0.39997558519241921"/>
      </left>
      <right style="medium">
        <color theme="5" tint="0.39997558519241921"/>
      </right>
      <top style="medium">
        <color theme="5" tint="0.39997558519241921"/>
      </top>
      <bottom/>
      <diagonal/>
    </border>
    <border>
      <left style="medium">
        <color theme="8" tint="0.39997558519241921"/>
      </left>
      <right style="medium">
        <color theme="8" tint="0.39997558519241921"/>
      </right>
      <top style="medium">
        <color theme="8" tint="0.39997558519241921"/>
      </top>
      <bottom style="medium">
        <color theme="8" tint="0.39997558519241921"/>
      </bottom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0" fillId="4" borderId="8" xfId="0" applyFill="1" applyBorder="1"/>
    <xf numFmtId="0" fontId="0" fillId="0" borderId="7" xfId="0" applyBorder="1"/>
    <xf numFmtId="0" fontId="0" fillId="3" borderId="7" xfId="0" applyFill="1" applyBorder="1"/>
    <xf numFmtId="0" fontId="1" fillId="12" borderId="9" xfId="0" applyFont="1" applyFill="1" applyBorder="1"/>
    <xf numFmtId="0" fontId="0" fillId="13" borderId="9" xfId="0" applyFill="1" applyBorder="1"/>
    <xf numFmtId="0" fontId="0" fillId="0" borderId="9" xfId="0" applyBorder="1"/>
    <xf numFmtId="0" fontId="2" fillId="13" borderId="9" xfId="0" applyFont="1" applyFill="1" applyBorder="1"/>
    <xf numFmtId="0" fontId="1" fillId="14" borderId="5" xfId="0" applyFont="1" applyFill="1" applyBorder="1"/>
    <xf numFmtId="0" fontId="2" fillId="15" borderId="5" xfId="0" applyFont="1" applyFill="1" applyBorder="1"/>
  </cellXfs>
  <cellStyles count="2">
    <cellStyle name="Normal" xfId="0" builtinId="0"/>
    <cellStyle name="Normal 2" xfId="1" xr:uid="{D928E634-3544-4816-A4E5-EC9933CDE0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180340</xdr:colOff>
      <xdr:row>14</xdr:row>
      <xdr:rowOff>27940</xdr:rowOff>
    </xdr:from>
    <xdr:ext cx="2495550" cy="1314450"/>
    <xdr:pic>
      <xdr:nvPicPr>
        <xdr:cNvPr id="2" name="image5.png" title="Imagen">
          <a:extLst>
            <a:ext uri="{FF2B5EF4-FFF2-40B4-BE49-F238E27FC236}">
              <a16:creationId xmlns:a16="http://schemas.microsoft.com/office/drawing/2014/main" id="{9BA371B0-B1E4-45FC-A8E3-EB3F278692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68260" y="2710180"/>
          <a:ext cx="2495550" cy="13144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279400</xdr:colOff>
      <xdr:row>23</xdr:row>
      <xdr:rowOff>182880</xdr:rowOff>
    </xdr:from>
    <xdr:ext cx="2047875" cy="61341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7106CCC5-B665-4666-AB48-E598DFC56F6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t="8000"/>
        <a:stretch>
          <a:fillRect/>
        </a:stretch>
      </xdr:blipFill>
      <xdr:spPr>
        <a:xfrm>
          <a:off x="5389880" y="4592320"/>
          <a:ext cx="2047875" cy="61341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185420</xdr:colOff>
      <xdr:row>31</xdr:row>
      <xdr:rowOff>160020</xdr:rowOff>
    </xdr:from>
    <xdr:to>
      <xdr:col>8</xdr:col>
      <xdr:colOff>317387</xdr:colOff>
      <xdr:row>35</xdr:row>
      <xdr:rowOff>114396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8F4F9B8-542F-C1CB-05FF-D03676220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56380" y="6093460"/>
          <a:ext cx="3748927" cy="685896"/>
        </a:xfrm>
        <a:prstGeom prst="rect">
          <a:avLst/>
        </a:prstGeom>
      </xdr:spPr>
    </xdr:pic>
    <xdr:clientData/>
  </xdr:twoCellAnchor>
  <xdr:twoCellAnchor editAs="oneCell">
    <xdr:from>
      <xdr:col>18</xdr:col>
      <xdr:colOff>264160</xdr:colOff>
      <xdr:row>21</xdr:row>
      <xdr:rowOff>10160</xdr:rowOff>
    </xdr:from>
    <xdr:to>
      <xdr:col>22</xdr:col>
      <xdr:colOff>685666</xdr:colOff>
      <xdr:row>27</xdr:row>
      <xdr:rowOff>42711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1A32B66-DC85-0C93-B54B-D98E48491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737840" y="4033520"/>
          <a:ext cx="3591426" cy="1190791"/>
        </a:xfrm>
        <a:prstGeom prst="rect">
          <a:avLst/>
        </a:prstGeom>
      </xdr:spPr>
    </xdr:pic>
    <xdr:clientData/>
  </xdr:twoCellAnchor>
  <xdr:twoCellAnchor editAs="oneCell">
    <xdr:from>
      <xdr:col>12</xdr:col>
      <xdr:colOff>284480</xdr:colOff>
      <xdr:row>29</xdr:row>
      <xdr:rowOff>121920</xdr:rowOff>
    </xdr:from>
    <xdr:to>
      <xdr:col>13</xdr:col>
      <xdr:colOff>206475</xdr:colOff>
      <xdr:row>31</xdr:row>
      <xdr:rowOff>107367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BD283F1-2546-2265-29AB-32434405D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42320" y="5689600"/>
          <a:ext cx="714475" cy="3715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216243</xdr:colOff>
      <xdr:row>14</xdr:row>
      <xdr:rowOff>144162</xdr:rowOff>
    </xdr:from>
    <xdr:ext cx="2495550" cy="1314450"/>
    <xdr:pic>
      <xdr:nvPicPr>
        <xdr:cNvPr id="2" name="image5.png" title="Imagen">
          <a:extLst>
            <a:ext uri="{FF2B5EF4-FFF2-40B4-BE49-F238E27FC236}">
              <a16:creationId xmlns:a16="http://schemas.microsoft.com/office/drawing/2014/main" id="{DA596268-862E-4022-A4D2-A23725CA25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22757" y="2862648"/>
          <a:ext cx="2495550" cy="13144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154460</xdr:colOff>
      <xdr:row>24</xdr:row>
      <xdr:rowOff>-1</xdr:rowOff>
    </xdr:from>
    <xdr:ext cx="2047875" cy="512291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91B43261-31F8-47D6-AEDD-D37CB0EE38B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t="13169" b="4939"/>
        <a:stretch>
          <a:fillRect/>
        </a:stretch>
      </xdr:blipFill>
      <xdr:spPr>
        <a:xfrm>
          <a:off x="4582298" y="4664675"/>
          <a:ext cx="2047875" cy="512291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308919</xdr:colOff>
      <xdr:row>30</xdr:row>
      <xdr:rowOff>175054</xdr:rowOff>
    </xdr:from>
    <xdr:to>
      <xdr:col>8</xdr:col>
      <xdr:colOff>422900</xdr:colOff>
      <xdr:row>34</xdr:row>
      <xdr:rowOff>109248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3757E0F-4680-4E28-97C8-A9B3CBDD7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80487" y="6013622"/>
          <a:ext cx="3748927" cy="685896"/>
        </a:xfrm>
        <a:prstGeom prst="rect">
          <a:avLst/>
        </a:prstGeom>
      </xdr:spPr>
    </xdr:pic>
    <xdr:clientData/>
  </xdr:twoCellAnchor>
  <xdr:twoCellAnchor editAs="oneCell">
    <xdr:from>
      <xdr:col>18</xdr:col>
      <xdr:colOff>216244</xdr:colOff>
      <xdr:row>21</xdr:row>
      <xdr:rowOff>154459</xdr:rowOff>
    </xdr:from>
    <xdr:to>
      <xdr:col>22</xdr:col>
      <xdr:colOff>636102</xdr:colOff>
      <xdr:row>27</xdr:row>
      <xdr:rowOff>171358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E01B79C-472E-4A4D-9EAF-BFE8F43CF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51676" y="4232189"/>
          <a:ext cx="3591426" cy="1190791"/>
        </a:xfrm>
        <a:prstGeom prst="rect">
          <a:avLst/>
        </a:prstGeom>
      </xdr:spPr>
    </xdr:pic>
    <xdr:clientData/>
  </xdr:twoCellAnchor>
  <xdr:twoCellAnchor editAs="oneCell">
    <xdr:from>
      <xdr:col>12</xdr:col>
      <xdr:colOff>247135</xdr:colOff>
      <xdr:row>29</xdr:row>
      <xdr:rowOff>102973</xdr:rowOff>
    </xdr:from>
    <xdr:to>
      <xdr:col>13</xdr:col>
      <xdr:colOff>168718</xdr:colOff>
      <xdr:row>31</xdr:row>
      <xdr:rowOff>83203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73DA5C9-50C5-4C1F-9B30-0965D622B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25216" y="5745892"/>
          <a:ext cx="714475" cy="3715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166078</xdr:colOff>
      <xdr:row>15</xdr:row>
      <xdr:rowOff>48847</xdr:rowOff>
    </xdr:from>
    <xdr:ext cx="2495550" cy="1314450"/>
    <xdr:pic>
      <xdr:nvPicPr>
        <xdr:cNvPr id="2" name="image5.png" title="Imagen">
          <a:extLst>
            <a:ext uri="{FF2B5EF4-FFF2-40B4-BE49-F238E27FC236}">
              <a16:creationId xmlns:a16="http://schemas.microsoft.com/office/drawing/2014/main" id="{8D1E0876-C21D-499C-BA69-9DF1605B42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78616" y="2960078"/>
          <a:ext cx="2495550" cy="13144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195386</xdr:colOff>
      <xdr:row>24</xdr:row>
      <xdr:rowOff>1</xdr:rowOff>
    </xdr:from>
    <xdr:ext cx="2047875" cy="512291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AF79826A-FD02-4ABA-909F-E5EB7C785E6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t="13169" b="4939"/>
        <a:stretch>
          <a:fillRect/>
        </a:stretch>
      </xdr:blipFill>
      <xdr:spPr>
        <a:xfrm>
          <a:off x="4982309" y="4659924"/>
          <a:ext cx="2047875" cy="512291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205155</xdr:colOff>
      <xdr:row>30</xdr:row>
      <xdr:rowOff>166077</xdr:rowOff>
    </xdr:from>
    <xdr:to>
      <xdr:col>8</xdr:col>
      <xdr:colOff>56159</xdr:colOff>
      <xdr:row>34</xdr:row>
      <xdr:rowOff>99742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DB01305-0905-44D7-B2DD-43118F15C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9770" y="5998308"/>
          <a:ext cx="3748927" cy="685896"/>
        </a:xfrm>
        <a:prstGeom prst="rect">
          <a:avLst/>
        </a:prstGeom>
      </xdr:spPr>
    </xdr:pic>
    <xdr:clientData/>
  </xdr:twoCellAnchor>
  <xdr:twoCellAnchor editAs="oneCell">
    <xdr:from>
      <xdr:col>18</xdr:col>
      <xdr:colOff>263769</xdr:colOff>
      <xdr:row>21</xdr:row>
      <xdr:rowOff>68386</xdr:rowOff>
    </xdr:from>
    <xdr:to>
      <xdr:col>22</xdr:col>
      <xdr:colOff>689965</xdr:colOff>
      <xdr:row>27</xdr:row>
      <xdr:rowOff>86869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BCEE4F3-D9A7-4858-A85C-F6A230406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826154" y="4142155"/>
          <a:ext cx="3591426" cy="1190791"/>
        </a:xfrm>
        <a:prstGeom prst="rect">
          <a:avLst/>
        </a:prstGeom>
      </xdr:spPr>
    </xdr:pic>
    <xdr:clientData/>
  </xdr:twoCellAnchor>
  <xdr:twoCellAnchor editAs="oneCell">
    <xdr:from>
      <xdr:col>12</xdr:col>
      <xdr:colOff>156308</xdr:colOff>
      <xdr:row>29</xdr:row>
      <xdr:rowOff>78155</xdr:rowOff>
    </xdr:from>
    <xdr:to>
      <xdr:col>13</xdr:col>
      <xdr:colOff>69706</xdr:colOff>
      <xdr:row>31</xdr:row>
      <xdr:rowOff>58913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B851C6E-022F-4F99-974A-E3D73E80F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43846" y="5715001"/>
          <a:ext cx="714475" cy="3715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364435</xdr:colOff>
      <xdr:row>13</xdr:row>
      <xdr:rowOff>44173</xdr:rowOff>
    </xdr:from>
    <xdr:ext cx="2495550" cy="1314450"/>
    <xdr:pic>
      <xdr:nvPicPr>
        <xdr:cNvPr id="2" name="image5.png" title="Imagen">
          <a:extLst>
            <a:ext uri="{FF2B5EF4-FFF2-40B4-BE49-F238E27FC236}">
              <a16:creationId xmlns:a16="http://schemas.microsoft.com/office/drawing/2014/main" id="{2DB7DF5F-81FE-42C8-85E4-F02C8670F8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31652" y="2484782"/>
          <a:ext cx="2495550" cy="13144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209826</xdr:colOff>
      <xdr:row>24</xdr:row>
      <xdr:rowOff>33130</xdr:rowOff>
    </xdr:from>
    <xdr:ext cx="2047875" cy="512291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977A0474-12E5-4687-8C5D-D65CA67A56D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t="13169" b="4939"/>
        <a:stretch>
          <a:fillRect/>
        </a:stretch>
      </xdr:blipFill>
      <xdr:spPr>
        <a:xfrm>
          <a:off x="4572000" y="4538869"/>
          <a:ext cx="2047875" cy="512291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209826</xdr:colOff>
      <xdr:row>30</xdr:row>
      <xdr:rowOff>176695</xdr:rowOff>
    </xdr:from>
    <xdr:to>
      <xdr:col>7</xdr:col>
      <xdr:colOff>734058</xdr:colOff>
      <xdr:row>34</xdr:row>
      <xdr:rowOff>111635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AD92F6C-D268-4830-8ED0-5494F51F0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22261" y="5808869"/>
          <a:ext cx="3748927" cy="685896"/>
        </a:xfrm>
        <a:prstGeom prst="rect">
          <a:avLst/>
        </a:prstGeom>
      </xdr:spPr>
    </xdr:pic>
    <xdr:clientData/>
  </xdr:twoCellAnchor>
  <xdr:twoCellAnchor editAs="oneCell">
    <xdr:from>
      <xdr:col>18</xdr:col>
      <xdr:colOff>485913</xdr:colOff>
      <xdr:row>21</xdr:row>
      <xdr:rowOff>11043</xdr:rowOff>
    </xdr:from>
    <xdr:to>
      <xdr:col>23</xdr:col>
      <xdr:colOff>101686</xdr:colOff>
      <xdr:row>27</xdr:row>
      <xdr:rowOff>75399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DDA9621-DAFB-490A-90F1-DC88159AB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90956" y="3953565"/>
          <a:ext cx="3591426" cy="1190791"/>
        </a:xfrm>
        <a:prstGeom prst="rect">
          <a:avLst/>
        </a:prstGeom>
      </xdr:spPr>
    </xdr:pic>
    <xdr:clientData/>
  </xdr:twoCellAnchor>
  <xdr:twoCellAnchor editAs="oneCell">
    <xdr:from>
      <xdr:col>12</xdr:col>
      <xdr:colOff>220869</xdr:colOff>
      <xdr:row>29</xdr:row>
      <xdr:rowOff>132521</xdr:rowOff>
    </xdr:from>
    <xdr:to>
      <xdr:col>13</xdr:col>
      <xdr:colOff>140214</xdr:colOff>
      <xdr:row>31</xdr:row>
      <xdr:rowOff>128570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340EA5F-88DF-4F42-9555-D119A53EF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55130" y="5576956"/>
          <a:ext cx="714475" cy="371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3BF2-8BD3-400C-ABBE-B0CA42C1ED72}">
  <dimension ref="C3:R31"/>
  <sheetViews>
    <sheetView topLeftCell="A14" zoomScale="75" workbookViewId="0">
      <selection activeCell="H43" sqref="D43:H43"/>
    </sheetView>
  </sheetViews>
  <sheetFormatPr baseColWidth="10" defaultRowHeight="14.4" x14ac:dyDescent="0.3"/>
  <cols>
    <col min="3" max="3" width="15.109375" customWidth="1"/>
    <col min="4" max="4" width="18.21875" customWidth="1"/>
    <col min="5" max="5" width="18" customWidth="1"/>
    <col min="17" max="17" width="12.44140625" bestFit="1" customWidth="1"/>
  </cols>
  <sheetData>
    <row r="3" spans="3:8" ht="15" thickBot="1" x14ac:dyDescent="0.35"/>
    <row r="4" spans="3:8" ht="15" thickBot="1" x14ac:dyDescent="0.35">
      <c r="C4" s="19" t="s">
        <v>0</v>
      </c>
      <c r="D4" s="19" t="s">
        <v>1</v>
      </c>
      <c r="E4" s="19" t="s">
        <v>2</v>
      </c>
      <c r="F4" s="19" t="s">
        <v>4</v>
      </c>
      <c r="G4" s="19" t="s">
        <v>5</v>
      </c>
      <c r="H4" s="19" t="s">
        <v>6</v>
      </c>
    </row>
    <row r="5" spans="3:8" ht="15" thickBot="1" x14ac:dyDescent="0.35">
      <c r="C5" s="20">
        <v>1</v>
      </c>
      <c r="D5" s="20">
        <v>130</v>
      </c>
      <c r="E5" s="20">
        <v>186</v>
      </c>
      <c r="F5" s="20">
        <v>16900</v>
      </c>
      <c r="G5" s="20">
        <v>24180</v>
      </c>
      <c r="H5" s="20">
        <v>34596</v>
      </c>
    </row>
    <row r="6" spans="3:8" ht="15" thickBot="1" x14ac:dyDescent="0.35">
      <c r="C6" s="20">
        <v>2</v>
      </c>
      <c r="D6" s="20">
        <v>650</v>
      </c>
      <c r="E6" s="20">
        <v>699</v>
      </c>
      <c r="F6" s="20">
        <v>422500</v>
      </c>
      <c r="G6" s="20">
        <v>454350</v>
      </c>
      <c r="H6" s="20">
        <v>488601</v>
      </c>
    </row>
    <row r="7" spans="3:8" ht="15" thickBot="1" x14ac:dyDescent="0.35">
      <c r="C7" s="20">
        <v>3</v>
      </c>
      <c r="D7" s="20">
        <v>99</v>
      </c>
      <c r="E7" s="20">
        <v>132</v>
      </c>
      <c r="F7" s="20">
        <v>9801</v>
      </c>
      <c r="G7" s="20">
        <v>13068</v>
      </c>
      <c r="H7" s="20">
        <v>17424</v>
      </c>
    </row>
    <row r="8" spans="3:8" ht="15" thickBot="1" x14ac:dyDescent="0.35">
      <c r="C8" s="20">
        <v>4</v>
      </c>
      <c r="D8" s="20">
        <v>150</v>
      </c>
      <c r="E8" s="20">
        <v>272</v>
      </c>
      <c r="F8" s="20">
        <v>22500</v>
      </c>
      <c r="G8" s="20">
        <v>40800</v>
      </c>
      <c r="H8" s="20">
        <v>73984</v>
      </c>
    </row>
    <row r="9" spans="3:8" ht="15" thickBot="1" x14ac:dyDescent="0.35">
      <c r="C9" s="20">
        <v>5</v>
      </c>
      <c r="D9" s="20">
        <v>128</v>
      </c>
      <c r="E9" s="20">
        <v>291</v>
      </c>
      <c r="F9" s="20">
        <v>16384</v>
      </c>
      <c r="G9" s="20">
        <v>37248</v>
      </c>
      <c r="H9" s="20">
        <v>84681</v>
      </c>
    </row>
    <row r="10" spans="3:8" ht="15" thickBot="1" x14ac:dyDescent="0.35">
      <c r="C10" s="20">
        <v>6</v>
      </c>
      <c r="D10" s="20">
        <v>302</v>
      </c>
      <c r="E10" s="20">
        <v>331</v>
      </c>
      <c r="F10" s="20">
        <v>91204</v>
      </c>
      <c r="G10" s="20">
        <v>99962</v>
      </c>
      <c r="H10" s="20">
        <v>109561</v>
      </c>
    </row>
    <row r="11" spans="3:8" ht="15" thickBot="1" x14ac:dyDescent="0.35">
      <c r="C11" s="20">
        <v>7</v>
      </c>
      <c r="D11" s="20">
        <v>95</v>
      </c>
      <c r="E11" s="20">
        <v>199</v>
      </c>
      <c r="F11" s="20">
        <v>9025</v>
      </c>
      <c r="G11" s="21">
        <v>18905</v>
      </c>
      <c r="H11" s="20">
        <v>39601</v>
      </c>
    </row>
    <row r="12" spans="3:8" ht="15" thickBot="1" x14ac:dyDescent="0.35">
      <c r="C12" s="20">
        <v>8</v>
      </c>
      <c r="D12" s="20">
        <v>945</v>
      </c>
      <c r="E12" s="20">
        <v>1890</v>
      </c>
      <c r="F12" s="20">
        <v>893025</v>
      </c>
      <c r="G12" s="20">
        <v>1786050</v>
      </c>
      <c r="H12" s="20">
        <v>3572100</v>
      </c>
    </row>
    <row r="13" spans="3:8" ht="15" thickBot="1" x14ac:dyDescent="0.35">
      <c r="C13" s="20">
        <v>9</v>
      </c>
      <c r="D13" s="20">
        <v>368</v>
      </c>
      <c r="E13" s="20">
        <v>788</v>
      </c>
      <c r="F13" s="20">
        <v>135424</v>
      </c>
      <c r="G13" s="20">
        <v>289984</v>
      </c>
      <c r="H13" s="20">
        <v>620944</v>
      </c>
    </row>
    <row r="14" spans="3:8" ht="15" thickBot="1" x14ac:dyDescent="0.35">
      <c r="C14" s="22">
        <v>10</v>
      </c>
      <c r="D14" s="22">
        <v>961</v>
      </c>
      <c r="E14" s="22">
        <v>1601</v>
      </c>
      <c r="F14" s="22">
        <v>923521</v>
      </c>
      <c r="G14" s="22">
        <v>1538561</v>
      </c>
      <c r="H14" s="22">
        <v>2563201</v>
      </c>
    </row>
    <row r="15" spans="3:8" ht="15" thickBot="1" x14ac:dyDescent="0.35">
      <c r="C15" s="23" t="s">
        <v>3</v>
      </c>
      <c r="D15" s="24">
        <f>SUM(D5:D14)</f>
        <v>3828</v>
      </c>
      <c r="E15" s="24">
        <f>SUM(E5:E14)</f>
        <v>6389</v>
      </c>
      <c r="F15" s="24">
        <f t="shared" ref="F15:H15" si="0">SUM(F5:F14)</f>
        <v>2540284</v>
      </c>
      <c r="G15" s="24">
        <f t="shared" si="0"/>
        <v>4303108</v>
      </c>
      <c r="H15" s="24">
        <f t="shared" si="0"/>
        <v>7604693</v>
      </c>
    </row>
    <row r="16" spans="3:8" ht="15" thickBot="1" x14ac:dyDescent="0.35">
      <c r="C16" s="25"/>
      <c r="D16" s="26">
        <f>AVERAGE(D5:D14)</f>
        <v>382.8</v>
      </c>
      <c r="E16" s="26">
        <f>AVERAGE(E5:E14)</f>
        <v>638.9</v>
      </c>
      <c r="F16" s="25"/>
      <c r="G16" s="25"/>
      <c r="H16" s="25"/>
    </row>
    <row r="18" spans="3:18" ht="15" thickBot="1" x14ac:dyDescent="0.35"/>
    <row r="19" spans="3:18" ht="15" thickBot="1" x14ac:dyDescent="0.35">
      <c r="C19" s="3" t="s">
        <v>7</v>
      </c>
      <c r="D19" s="4">
        <v>4303108</v>
      </c>
      <c r="E19" s="5">
        <v>382.8</v>
      </c>
      <c r="F19" s="5">
        <v>6389</v>
      </c>
      <c r="G19" s="5">
        <f>D19-(E19*F19)</f>
        <v>1857398.7999999998</v>
      </c>
    </row>
    <row r="20" spans="3:18" ht="15" thickBot="1" x14ac:dyDescent="0.35">
      <c r="C20" s="6"/>
      <c r="D20" s="7">
        <v>2540284</v>
      </c>
      <c r="E20" s="7">
        <f>D16*D16</f>
        <v>146535.84</v>
      </c>
      <c r="F20" s="7"/>
      <c r="G20" s="7">
        <f>D20-(10*E20)</f>
        <v>1074925.6000000001</v>
      </c>
    </row>
    <row r="21" spans="3:18" ht="15" thickBot="1" x14ac:dyDescent="0.35">
      <c r="C21" s="6"/>
      <c r="D21" s="7"/>
      <c r="E21" s="7"/>
      <c r="F21" s="7"/>
      <c r="G21" s="7"/>
    </row>
    <row r="22" spans="3:18" ht="15" thickBot="1" x14ac:dyDescent="0.35">
      <c r="C22" s="3" t="s">
        <v>8</v>
      </c>
      <c r="D22" s="8">
        <f>(G19/G20)</f>
        <v>1.7279324262069855</v>
      </c>
      <c r="E22" s="9"/>
      <c r="F22" s="9"/>
      <c r="G22" s="9"/>
    </row>
    <row r="23" spans="3:18" ht="15" thickBot="1" x14ac:dyDescent="0.35">
      <c r="C23" s="2"/>
      <c r="D23" s="1"/>
      <c r="E23" s="1"/>
      <c r="F23" s="1"/>
      <c r="G23" s="1"/>
    </row>
    <row r="24" spans="3:18" ht="15" thickBot="1" x14ac:dyDescent="0.35">
      <c r="C24" s="2"/>
      <c r="D24" s="1"/>
      <c r="E24" s="1"/>
      <c r="F24" s="1"/>
      <c r="G24" s="1"/>
      <c r="K24" s="27" t="s">
        <v>14</v>
      </c>
      <c r="L24" s="28">
        <v>10</v>
      </c>
      <c r="M24" s="28">
        <v>4303108</v>
      </c>
      <c r="N24" s="28">
        <v>3828</v>
      </c>
      <c r="O24" s="28">
        <v>6389</v>
      </c>
      <c r="P24" s="28">
        <f>(L24*M24)-(N24*O24)</f>
        <v>18573988</v>
      </c>
      <c r="Q24" s="28"/>
      <c r="R24" s="28"/>
    </row>
    <row r="25" spans="3:18" ht="15" thickBot="1" x14ac:dyDescent="0.35">
      <c r="C25" s="11" t="s">
        <v>9</v>
      </c>
      <c r="D25" s="12">
        <v>638.9</v>
      </c>
      <c r="E25" s="12">
        <f>D16*D22</f>
        <v>661.45253275203402</v>
      </c>
      <c r="F25" s="1"/>
      <c r="G25" s="10"/>
      <c r="K25" s="29"/>
      <c r="L25" s="28">
        <v>10</v>
      </c>
      <c r="M25" s="28">
        <v>2540284</v>
      </c>
      <c r="N25" s="28">
        <f>D15*D15</f>
        <v>14653584</v>
      </c>
      <c r="O25" s="28">
        <v>7604693</v>
      </c>
      <c r="P25" s="28">
        <f>E15*E15</f>
        <v>40819321</v>
      </c>
      <c r="Q25" s="28">
        <f>(L25*M25-N25)*(L25*O25-P25)</f>
        <v>378670587408904</v>
      </c>
      <c r="R25" s="28">
        <f>SQRT(Q25)</f>
        <v>19459460.100652948</v>
      </c>
    </row>
    <row r="26" spans="3:18" ht="15" thickBot="1" x14ac:dyDescent="0.35">
      <c r="C26" s="11" t="s">
        <v>10</v>
      </c>
      <c r="D26" s="14">
        <f>(D25-E25)</f>
        <v>-22.55253275203404</v>
      </c>
      <c r="E26" s="13"/>
      <c r="F26" s="1"/>
      <c r="G26" s="1"/>
      <c r="K26" s="29"/>
      <c r="L26" s="29"/>
      <c r="M26" s="29"/>
      <c r="N26" s="29"/>
      <c r="O26" s="29"/>
      <c r="P26" s="29"/>
      <c r="Q26" s="29"/>
      <c r="R26" s="29"/>
    </row>
    <row r="27" spans="3:18" ht="15" thickBot="1" x14ac:dyDescent="0.35">
      <c r="C27" s="2"/>
      <c r="D27" s="1"/>
      <c r="E27" s="1"/>
      <c r="F27" s="1"/>
      <c r="G27" s="1"/>
      <c r="K27" s="27" t="s">
        <v>15</v>
      </c>
      <c r="L27" s="30">
        <f>P24/R25</f>
        <v>0.95449657410468258</v>
      </c>
    </row>
    <row r="28" spans="3:18" ht="15" thickBot="1" x14ac:dyDescent="0.35">
      <c r="C28" s="2"/>
      <c r="D28" s="1"/>
      <c r="E28" s="1"/>
      <c r="F28" s="1"/>
      <c r="G28" s="1"/>
    </row>
    <row r="29" spans="3:18" ht="15" thickBot="1" x14ac:dyDescent="0.35">
      <c r="C29" s="15" t="s">
        <v>12</v>
      </c>
      <c r="D29" s="16">
        <v>386</v>
      </c>
      <c r="E29" s="18" t="s">
        <v>13</v>
      </c>
      <c r="F29" s="1"/>
      <c r="G29" s="1"/>
    </row>
    <row r="30" spans="3:18" ht="15" thickBot="1" x14ac:dyDescent="0.35">
      <c r="C30" s="15" t="s">
        <v>11</v>
      </c>
      <c r="D30" s="16">
        <v>-22.552532750000001</v>
      </c>
      <c r="E30" s="16">
        <v>1.727932426</v>
      </c>
      <c r="F30" s="1"/>
      <c r="G30" s="1"/>
    </row>
    <row r="31" spans="3:18" ht="15" thickBot="1" x14ac:dyDescent="0.35">
      <c r="C31" s="15" t="s">
        <v>11</v>
      </c>
      <c r="D31" s="17">
        <f>D30+E30*D29</f>
        <v>644.42938368600005</v>
      </c>
      <c r="E31" s="1"/>
      <c r="F31" s="1"/>
      <c r="G31" s="1"/>
      <c r="K31" s="31" t="s">
        <v>16</v>
      </c>
      <c r="L31" s="32">
        <f>L27*L27</f>
        <v>0.9110637099775758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160E-A811-43CB-8F6D-7D616DAA45FF}">
  <dimension ref="C3:R31"/>
  <sheetViews>
    <sheetView topLeftCell="G16" zoomScale="74" workbookViewId="0">
      <selection activeCell="N32" sqref="N32"/>
    </sheetView>
  </sheetViews>
  <sheetFormatPr baseColWidth="10" defaultRowHeight="14.4" x14ac:dyDescent="0.3"/>
  <cols>
    <col min="5" max="5" width="18.33203125" customWidth="1"/>
  </cols>
  <sheetData>
    <row r="3" spans="3:8" ht="15" thickBot="1" x14ac:dyDescent="0.35"/>
    <row r="4" spans="3:8" ht="15" thickBot="1" x14ac:dyDescent="0.35">
      <c r="C4" s="19" t="s">
        <v>0</v>
      </c>
      <c r="D4" s="19" t="s">
        <v>1</v>
      </c>
      <c r="E4" s="19" t="s">
        <v>2</v>
      </c>
      <c r="F4" s="19" t="s">
        <v>4</v>
      </c>
      <c r="G4" s="19" t="s">
        <v>5</v>
      </c>
      <c r="H4" s="19" t="s">
        <v>6</v>
      </c>
    </row>
    <row r="5" spans="3:8" ht="15" thickBot="1" x14ac:dyDescent="0.35">
      <c r="C5" s="20">
        <v>1</v>
      </c>
      <c r="D5" s="20">
        <v>130</v>
      </c>
      <c r="E5" s="20">
        <v>15</v>
      </c>
      <c r="F5" s="20">
        <v>16900</v>
      </c>
      <c r="G5" s="20">
        <f>(D5*E5)</f>
        <v>1950</v>
      </c>
      <c r="H5" s="20">
        <f>(E5*E5)</f>
        <v>225</v>
      </c>
    </row>
    <row r="6" spans="3:8" ht="15" thickBot="1" x14ac:dyDescent="0.35">
      <c r="C6" s="20">
        <v>2</v>
      </c>
      <c r="D6" s="20">
        <v>650</v>
      </c>
      <c r="E6" s="20">
        <v>69.900000000000006</v>
      </c>
      <c r="F6" s="20">
        <v>422500</v>
      </c>
      <c r="G6" s="20">
        <f t="shared" ref="G6:G14" si="0">(D6*E6)</f>
        <v>45435.000000000007</v>
      </c>
      <c r="H6" s="20">
        <f t="shared" ref="H6:H14" si="1">(E6*E6)</f>
        <v>4886.0100000000011</v>
      </c>
    </row>
    <row r="7" spans="3:8" ht="15" thickBot="1" x14ac:dyDescent="0.35">
      <c r="C7" s="20">
        <v>3</v>
      </c>
      <c r="D7" s="20">
        <v>99</v>
      </c>
      <c r="E7" s="20">
        <v>6.5</v>
      </c>
      <c r="F7" s="20">
        <v>9801</v>
      </c>
      <c r="G7" s="20">
        <f t="shared" si="0"/>
        <v>643.5</v>
      </c>
      <c r="H7" s="20">
        <f t="shared" si="1"/>
        <v>42.25</v>
      </c>
    </row>
    <row r="8" spans="3:8" ht="15" thickBot="1" x14ac:dyDescent="0.35">
      <c r="C8" s="20">
        <v>4</v>
      </c>
      <c r="D8" s="20">
        <v>150</v>
      </c>
      <c r="E8" s="20">
        <v>22.4</v>
      </c>
      <c r="F8" s="20">
        <v>22500</v>
      </c>
      <c r="G8" s="20">
        <f t="shared" si="0"/>
        <v>3360</v>
      </c>
      <c r="H8" s="20">
        <f t="shared" si="1"/>
        <v>501.75999999999993</v>
      </c>
    </row>
    <row r="9" spans="3:8" ht="15" thickBot="1" x14ac:dyDescent="0.35">
      <c r="C9" s="20">
        <v>5</v>
      </c>
      <c r="D9" s="20">
        <v>128</v>
      </c>
      <c r="E9" s="20">
        <v>28.4</v>
      </c>
      <c r="F9" s="20">
        <v>16384</v>
      </c>
      <c r="G9" s="20">
        <f t="shared" si="0"/>
        <v>3635.2</v>
      </c>
      <c r="H9" s="20">
        <f t="shared" si="1"/>
        <v>806.56</v>
      </c>
    </row>
    <row r="10" spans="3:8" ht="15" thickBot="1" x14ac:dyDescent="0.35">
      <c r="C10" s="20">
        <v>6</v>
      </c>
      <c r="D10" s="20">
        <v>302</v>
      </c>
      <c r="E10" s="20">
        <v>65.900000000000006</v>
      </c>
      <c r="F10" s="20">
        <v>91204</v>
      </c>
      <c r="G10" s="20">
        <f t="shared" si="0"/>
        <v>19901.800000000003</v>
      </c>
      <c r="H10" s="20">
        <f t="shared" si="1"/>
        <v>4342.8100000000004</v>
      </c>
    </row>
    <row r="11" spans="3:8" ht="15" thickBot="1" x14ac:dyDescent="0.35">
      <c r="C11" s="20">
        <v>7</v>
      </c>
      <c r="D11" s="20">
        <v>95</v>
      </c>
      <c r="E11" s="20">
        <v>19.399999999999999</v>
      </c>
      <c r="F11" s="20">
        <v>9025</v>
      </c>
      <c r="G11" s="20">
        <f t="shared" si="0"/>
        <v>1842.9999999999998</v>
      </c>
      <c r="H11" s="20">
        <f t="shared" si="1"/>
        <v>376.35999999999996</v>
      </c>
    </row>
    <row r="12" spans="3:8" ht="15" thickBot="1" x14ac:dyDescent="0.35">
      <c r="C12" s="20">
        <v>8</v>
      </c>
      <c r="D12" s="20">
        <v>945</v>
      </c>
      <c r="E12" s="20">
        <v>198.7</v>
      </c>
      <c r="F12" s="20">
        <v>893025</v>
      </c>
      <c r="G12" s="20">
        <f t="shared" si="0"/>
        <v>187771.5</v>
      </c>
      <c r="H12" s="20">
        <f t="shared" si="1"/>
        <v>39481.689999999995</v>
      </c>
    </row>
    <row r="13" spans="3:8" ht="15" thickBot="1" x14ac:dyDescent="0.35">
      <c r="C13" s="20">
        <v>9</v>
      </c>
      <c r="D13" s="20">
        <v>368</v>
      </c>
      <c r="E13" s="20">
        <v>38.799999999999997</v>
      </c>
      <c r="F13" s="20">
        <v>135424</v>
      </c>
      <c r="G13" s="20">
        <f t="shared" si="0"/>
        <v>14278.4</v>
      </c>
      <c r="H13" s="20">
        <f t="shared" si="1"/>
        <v>1505.4399999999998</v>
      </c>
    </row>
    <row r="14" spans="3:8" ht="15" thickBot="1" x14ac:dyDescent="0.35">
      <c r="C14" s="22">
        <v>10</v>
      </c>
      <c r="D14" s="22">
        <v>961</v>
      </c>
      <c r="E14" s="22">
        <v>138.19999999999999</v>
      </c>
      <c r="F14" s="22">
        <v>923521</v>
      </c>
      <c r="G14" s="20">
        <f t="shared" si="0"/>
        <v>132810.19999999998</v>
      </c>
      <c r="H14" s="20">
        <f t="shared" si="1"/>
        <v>19099.239999999998</v>
      </c>
    </row>
    <row r="15" spans="3:8" ht="15" thickBot="1" x14ac:dyDescent="0.35">
      <c r="C15" s="23" t="s">
        <v>3</v>
      </c>
      <c r="D15" s="24">
        <f>SUM(D5:D14)</f>
        <v>3828</v>
      </c>
      <c r="E15" s="24">
        <f>SUM(E5:E14)</f>
        <v>603.20000000000005</v>
      </c>
      <c r="F15" s="24">
        <f t="shared" ref="F15:H15" si="2">SUM(F5:F14)</f>
        <v>2540284</v>
      </c>
      <c r="G15" s="24">
        <f t="shared" si="2"/>
        <v>411628.6</v>
      </c>
      <c r="H15" s="24">
        <f t="shared" si="2"/>
        <v>71267.12</v>
      </c>
    </row>
    <row r="16" spans="3:8" ht="15" thickBot="1" x14ac:dyDescent="0.35">
      <c r="C16" s="25"/>
      <c r="D16" s="26">
        <f>AVERAGE(D5:D14)</f>
        <v>382.8</v>
      </c>
      <c r="E16" s="26">
        <f>AVERAGE(E5:E14)</f>
        <v>60.320000000000007</v>
      </c>
      <c r="F16" s="25"/>
      <c r="G16" s="25"/>
      <c r="H16" s="25"/>
    </row>
    <row r="18" spans="3:18" ht="15" thickBot="1" x14ac:dyDescent="0.35"/>
    <row r="19" spans="3:18" ht="15" thickBot="1" x14ac:dyDescent="0.35">
      <c r="C19" s="3" t="s">
        <v>7</v>
      </c>
      <c r="D19" s="4">
        <v>411628.6</v>
      </c>
      <c r="E19" s="5">
        <v>382.8</v>
      </c>
      <c r="F19" s="5">
        <v>603.20000000000005</v>
      </c>
      <c r="G19" s="5">
        <f>D19-(E19*F19)</f>
        <v>180723.63999999996</v>
      </c>
    </row>
    <row r="20" spans="3:18" ht="15" thickBot="1" x14ac:dyDescent="0.35">
      <c r="C20" s="6"/>
      <c r="D20" s="7">
        <v>2540284</v>
      </c>
      <c r="E20" s="7">
        <f>D16*D16</f>
        <v>146535.84</v>
      </c>
      <c r="F20" s="7"/>
      <c r="G20" s="7">
        <f>D20-(10*E20)</f>
        <v>1074925.6000000001</v>
      </c>
    </row>
    <row r="21" spans="3:18" ht="15" thickBot="1" x14ac:dyDescent="0.35">
      <c r="C21" s="6"/>
      <c r="D21" s="7"/>
      <c r="E21" s="7"/>
      <c r="F21" s="7"/>
      <c r="G21" s="7"/>
    </row>
    <row r="22" spans="3:18" ht="15" thickBot="1" x14ac:dyDescent="0.35">
      <c r="C22" s="3" t="s">
        <v>8</v>
      </c>
      <c r="D22" s="8">
        <f>(G19/G20)</f>
        <v>0.16812664988162895</v>
      </c>
      <c r="E22" s="9"/>
      <c r="F22" s="9"/>
      <c r="G22" s="9"/>
    </row>
    <row r="23" spans="3:18" ht="15" thickBot="1" x14ac:dyDescent="0.35">
      <c r="C23" s="2"/>
      <c r="D23" s="1"/>
      <c r="E23" s="1"/>
      <c r="F23" s="1"/>
      <c r="G23" s="1"/>
    </row>
    <row r="24" spans="3:18" ht="15" thickBot="1" x14ac:dyDescent="0.35">
      <c r="C24" s="2"/>
      <c r="D24" s="1"/>
      <c r="E24" s="1"/>
      <c r="F24" s="1"/>
      <c r="G24" s="1"/>
      <c r="K24" s="27" t="s">
        <v>14</v>
      </c>
      <c r="L24" s="28">
        <v>10</v>
      </c>
      <c r="M24" s="28">
        <v>411628.6</v>
      </c>
      <c r="N24" s="28">
        <v>3828</v>
      </c>
      <c r="O24" s="28">
        <v>603.20000000000005</v>
      </c>
      <c r="P24" s="28">
        <f>(L24*M24)-(N24*O24)</f>
        <v>1807236.4</v>
      </c>
      <c r="Q24" s="28"/>
      <c r="R24" s="28"/>
    </row>
    <row r="25" spans="3:18" ht="15" thickBot="1" x14ac:dyDescent="0.35">
      <c r="C25" s="11" t="s">
        <v>9</v>
      </c>
      <c r="D25" s="12">
        <v>60.32</v>
      </c>
      <c r="E25" s="12">
        <f>D16*D22</f>
        <v>64.358881574687558</v>
      </c>
      <c r="F25" s="1"/>
      <c r="G25" s="10"/>
      <c r="K25" s="29"/>
      <c r="L25" s="28">
        <v>10</v>
      </c>
      <c r="M25" s="28">
        <v>2540284</v>
      </c>
      <c r="N25" s="28">
        <f>D15*D15</f>
        <v>14653584</v>
      </c>
      <c r="O25" s="28">
        <v>71267.12</v>
      </c>
      <c r="P25" s="28">
        <f>E15*E15</f>
        <v>363850.24000000005</v>
      </c>
      <c r="Q25" s="28">
        <f>(L25*M25-N25)*(L25*O25-P25)</f>
        <v>3749565797205.7588</v>
      </c>
      <c r="R25" s="28">
        <f>SQRT(Q25)</f>
        <v>1936379.5591788711</v>
      </c>
    </row>
    <row r="26" spans="3:18" ht="15" thickBot="1" x14ac:dyDescent="0.35">
      <c r="C26" s="11" t="s">
        <v>10</v>
      </c>
      <c r="D26" s="14">
        <f>(D25-E25)</f>
        <v>-4.0388815746875579</v>
      </c>
      <c r="E26" s="13"/>
      <c r="F26" s="1"/>
      <c r="G26" s="1"/>
      <c r="K26" s="29"/>
      <c r="L26" s="29"/>
      <c r="M26" s="29"/>
      <c r="N26" s="29"/>
      <c r="O26" s="29"/>
      <c r="P26" s="29"/>
      <c r="Q26" s="29"/>
      <c r="R26" s="29"/>
    </row>
    <row r="27" spans="3:18" ht="15" thickBot="1" x14ac:dyDescent="0.35">
      <c r="C27" s="2"/>
      <c r="D27" s="1"/>
      <c r="E27" s="1"/>
      <c r="F27" s="1"/>
      <c r="G27" s="1"/>
      <c r="K27" s="27" t="s">
        <v>15</v>
      </c>
      <c r="L27" s="30">
        <f>P24/R25</f>
        <v>0.93330689814055112</v>
      </c>
    </row>
    <row r="28" spans="3:18" ht="15" thickBot="1" x14ac:dyDescent="0.35">
      <c r="C28" s="2"/>
      <c r="D28" s="1"/>
      <c r="E28" s="1"/>
      <c r="F28" s="1"/>
      <c r="G28" s="1"/>
    </row>
    <row r="29" spans="3:18" ht="15" thickBot="1" x14ac:dyDescent="0.35">
      <c r="C29" s="15" t="s">
        <v>12</v>
      </c>
      <c r="D29" s="16">
        <v>386</v>
      </c>
      <c r="E29" s="18" t="s">
        <v>13</v>
      </c>
      <c r="F29" s="1"/>
      <c r="G29" s="1"/>
    </row>
    <row r="30" spans="3:18" ht="15" thickBot="1" x14ac:dyDescent="0.35">
      <c r="C30" s="15" t="s">
        <v>11</v>
      </c>
      <c r="D30" s="16">
        <f>(D25-E25)</f>
        <v>-4.0388815746875579</v>
      </c>
      <c r="E30" s="16">
        <f>(G19/G20)</f>
        <v>0.16812664988162895</v>
      </c>
      <c r="F30" s="1"/>
      <c r="G30" s="1"/>
    </row>
    <row r="31" spans="3:18" ht="15" thickBot="1" x14ac:dyDescent="0.35">
      <c r="C31" s="15" t="s">
        <v>11</v>
      </c>
      <c r="D31" s="17">
        <f>D30+E30*D29</f>
        <v>60.858005279621217</v>
      </c>
      <c r="E31" s="1"/>
      <c r="F31" s="1"/>
      <c r="G31" s="1"/>
      <c r="K31" s="31" t="s">
        <v>16</v>
      </c>
      <c r="L31" s="32">
        <f>L27*L27</f>
        <v>0.87106176611673702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7902-E54B-44EF-A7F6-D4D7AB448C16}">
  <dimension ref="C3:R31"/>
  <sheetViews>
    <sheetView topLeftCell="A27" zoomScale="78" zoomScaleNormal="56" workbookViewId="0">
      <selection activeCell="U37" sqref="U37"/>
    </sheetView>
  </sheetViews>
  <sheetFormatPr baseColWidth="10" defaultRowHeight="14.4" x14ac:dyDescent="0.3"/>
  <cols>
    <col min="3" max="3" width="11.6640625" bestFit="1" customWidth="1"/>
    <col min="4" max="4" width="18" customWidth="1"/>
    <col min="5" max="5" width="17.109375" customWidth="1"/>
    <col min="6" max="6" width="14" customWidth="1"/>
    <col min="7" max="7" width="12.88671875" customWidth="1"/>
    <col min="8" max="8" width="13" customWidth="1"/>
    <col min="12" max="16" width="11.6640625" bestFit="1" customWidth="1"/>
    <col min="17" max="17" width="12.6640625" bestFit="1" customWidth="1"/>
    <col min="18" max="18" width="11.6640625" bestFit="1" customWidth="1"/>
  </cols>
  <sheetData>
    <row r="3" spans="3:8" ht="15" thickBot="1" x14ac:dyDescent="0.35"/>
    <row r="4" spans="3:8" ht="15" thickBot="1" x14ac:dyDescent="0.35">
      <c r="C4" s="19" t="s">
        <v>0</v>
      </c>
      <c r="D4" s="19" t="s">
        <v>1</v>
      </c>
      <c r="E4" s="19" t="s">
        <v>2</v>
      </c>
      <c r="F4" s="19" t="s">
        <v>4</v>
      </c>
      <c r="G4" s="19" t="s">
        <v>5</v>
      </c>
      <c r="H4" s="19" t="s">
        <v>6</v>
      </c>
    </row>
    <row r="5" spans="3:8" ht="15" thickBot="1" x14ac:dyDescent="0.35">
      <c r="C5" s="20">
        <v>1</v>
      </c>
      <c r="D5" s="20">
        <v>163</v>
      </c>
      <c r="E5" s="20">
        <v>186</v>
      </c>
      <c r="F5" s="20">
        <f>D5*D5</f>
        <v>26569</v>
      </c>
      <c r="G5" s="20">
        <f>(D5*E5)</f>
        <v>30318</v>
      </c>
      <c r="H5" s="20">
        <f>(E5*E5)</f>
        <v>34596</v>
      </c>
    </row>
    <row r="6" spans="3:8" ht="15" thickBot="1" x14ac:dyDescent="0.35">
      <c r="C6" s="20">
        <v>2</v>
      </c>
      <c r="D6" s="20">
        <v>765</v>
      </c>
      <c r="E6" s="20">
        <v>699</v>
      </c>
      <c r="F6" s="20">
        <f t="shared" ref="F6:F14" si="0">D6*D6</f>
        <v>585225</v>
      </c>
      <c r="G6" s="20">
        <f t="shared" ref="G6:G14" si="1">(D6*E6)</f>
        <v>534735</v>
      </c>
      <c r="H6" s="20">
        <f t="shared" ref="H6:H14" si="2">(E6*E6)</f>
        <v>488601</v>
      </c>
    </row>
    <row r="7" spans="3:8" ht="15" thickBot="1" x14ac:dyDescent="0.35">
      <c r="C7" s="20">
        <v>3</v>
      </c>
      <c r="D7" s="20">
        <v>141</v>
      </c>
      <c r="E7" s="20">
        <v>132</v>
      </c>
      <c r="F7" s="20">
        <f t="shared" si="0"/>
        <v>19881</v>
      </c>
      <c r="G7" s="20">
        <f t="shared" si="1"/>
        <v>18612</v>
      </c>
      <c r="H7" s="20">
        <f t="shared" si="2"/>
        <v>17424</v>
      </c>
    </row>
    <row r="8" spans="3:8" ht="15" thickBot="1" x14ac:dyDescent="0.35">
      <c r="C8" s="20">
        <v>4</v>
      </c>
      <c r="D8" s="20">
        <v>166</v>
      </c>
      <c r="E8" s="20">
        <v>272</v>
      </c>
      <c r="F8" s="20">
        <f t="shared" si="0"/>
        <v>27556</v>
      </c>
      <c r="G8" s="20">
        <f t="shared" si="1"/>
        <v>45152</v>
      </c>
      <c r="H8" s="20">
        <f t="shared" si="2"/>
        <v>73984</v>
      </c>
    </row>
    <row r="9" spans="3:8" ht="15" thickBot="1" x14ac:dyDescent="0.35">
      <c r="C9" s="20">
        <v>5</v>
      </c>
      <c r="D9" s="20">
        <v>137</v>
      </c>
      <c r="E9" s="20">
        <v>291</v>
      </c>
      <c r="F9" s="20">
        <f t="shared" si="0"/>
        <v>18769</v>
      </c>
      <c r="G9" s="20">
        <f t="shared" si="1"/>
        <v>39867</v>
      </c>
      <c r="H9" s="20">
        <f t="shared" si="2"/>
        <v>84681</v>
      </c>
    </row>
    <row r="10" spans="3:8" ht="15" thickBot="1" x14ac:dyDescent="0.35">
      <c r="C10" s="20">
        <v>6</v>
      </c>
      <c r="D10" s="20">
        <v>355</v>
      </c>
      <c r="E10" s="20">
        <v>331</v>
      </c>
      <c r="F10" s="20">
        <f t="shared" si="0"/>
        <v>126025</v>
      </c>
      <c r="G10" s="20">
        <f t="shared" si="1"/>
        <v>117505</v>
      </c>
      <c r="H10" s="20">
        <f t="shared" si="2"/>
        <v>109561</v>
      </c>
    </row>
    <row r="11" spans="3:8" ht="15" thickBot="1" x14ac:dyDescent="0.35">
      <c r="C11" s="20">
        <v>7</v>
      </c>
      <c r="D11" s="20">
        <v>136</v>
      </c>
      <c r="E11" s="20">
        <v>199</v>
      </c>
      <c r="F11" s="20">
        <f t="shared" si="0"/>
        <v>18496</v>
      </c>
      <c r="G11" s="20">
        <f t="shared" si="1"/>
        <v>27064</v>
      </c>
      <c r="H11" s="20">
        <f t="shared" si="2"/>
        <v>39601</v>
      </c>
    </row>
    <row r="12" spans="3:8" ht="15" thickBot="1" x14ac:dyDescent="0.35">
      <c r="C12" s="20">
        <v>8</v>
      </c>
      <c r="D12" s="20">
        <v>1206</v>
      </c>
      <c r="E12" s="20">
        <v>1890</v>
      </c>
      <c r="F12" s="20">
        <f t="shared" si="0"/>
        <v>1454436</v>
      </c>
      <c r="G12" s="20">
        <f t="shared" si="1"/>
        <v>2279340</v>
      </c>
      <c r="H12" s="20">
        <f t="shared" si="2"/>
        <v>3572100</v>
      </c>
    </row>
    <row r="13" spans="3:8" ht="15" thickBot="1" x14ac:dyDescent="0.35">
      <c r="C13" s="20">
        <v>9</v>
      </c>
      <c r="D13" s="20">
        <v>433</v>
      </c>
      <c r="E13" s="20">
        <v>788</v>
      </c>
      <c r="F13" s="20">
        <f t="shared" si="0"/>
        <v>187489</v>
      </c>
      <c r="G13" s="20">
        <f t="shared" si="1"/>
        <v>341204</v>
      </c>
      <c r="H13" s="20">
        <f t="shared" si="2"/>
        <v>620944</v>
      </c>
    </row>
    <row r="14" spans="3:8" ht="15" thickBot="1" x14ac:dyDescent="0.35">
      <c r="C14" s="22">
        <v>10</v>
      </c>
      <c r="D14" s="22">
        <v>1130</v>
      </c>
      <c r="E14" s="22">
        <v>1601</v>
      </c>
      <c r="F14" s="20">
        <f t="shared" si="0"/>
        <v>1276900</v>
      </c>
      <c r="G14" s="20">
        <f t="shared" si="1"/>
        <v>1809130</v>
      </c>
      <c r="H14" s="20">
        <f t="shared" si="2"/>
        <v>2563201</v>
      </c>
    </row>
    <row r="15" spans="3:8" ht="15" thickBot="1" x14ac:dyDescent="0.35">
      <c r="C15" s="23" t="s">
        <v>3</v>
      </c>
      <c r="D15" s="24">
        <f>SUM(D5:D14)</f>
        <v>4632</v>
      </c>
      <c r="E15" s="24">
        <f>SUM(E5:E14)</f>
        <v>6389</v>
      </c>
      <c r="F15" s="24">
        <f t="shared" ref="F15:H15" si="3">SUM(F5:F14)</f>
        <v>3741346</v>
      </c>
      <c r="G15" s="24">
        <f t="shared" si="3"/>
        <v>5242927</v>
      </c>
      <c r="H15" s="24">
        <f t="shared" si="3"/>
        <v>7604693</v>
      </c>
    </row>
    <row r="16" spans="3:8" ht="15" thickBot="1" x14ac:dyDescent="0.35">
      <c r="C16" s="25"/>
      <c r="D16" s="26">
        <f>AVERAGE(D5:D14)</f>
        <v>463.2</v>
      </c>
      <c r="E16" s="26">
        <f>AVERAGE(E5:E14)</f>
        <v>638.9</v>
      </c>
      <c r="F16" s="25"/>
      <c r="G16" s="25"/>
      <c r="H16" s="25"/>
    </row>
    <row r="18" spans="3:18" ht="15" thickBot="1" x14ac:dyDescent="0.35"/>
    <row r="19" spans="3:18" ht="15" thickBot="1" x14ac:dyDescent="0.35">
      <c r="C19" s="3" t="s">
        <v>7</v>
      </c>
      <c r="D19" s="4">
        <v>5242927</v>
      </c>
      <c r="E19" s="5">
        <v>463.2</v>
      </c>
      <c r="F19" s="5">
        <v>6389</v>
      </c>
      <c r="G19" s="5">
        <f>D19-(E19*F19)</f>
        <v>2283542.2000000002</v>
      </c>
    </row>
    <row r="20" spans="3:18" ht="15" thickBot="1" x14ac:dyDescent="0.35">
      <c r="C20" s="6"/>
      <c r="D20" s="7">
        <v>3741346</v>
      </c>
      <c r="E20" s="7">
        <f>D16*D16</f>
        <v>214554.23999999999</v>
      </c>
      <c r="F20" s="7"/>
      <c r="G20" s="7">
        <f>D20-(10*E20)</f>
        <v>1595803.6</v>
      </c>
    </row>
    <row r="21" spans="3:18" ht="15" thickBot="1" x14ac:dyDescent="0.35">
      <c r="C21" s="6"/>
      <c r="D21" s="7"/>
      <c r="E21" s="7"/>
      <c r="F21" s="7"/>
      <c r="G21" s="7"/>
    </row>
    <row r="22" spans="3:18" ht="15" thickBot="1" x14ac:dyDescent="0.35">
      <c r="C22" s="3" t="s">
        <v>8</v>
      </c>
      <c r="D22" s="8">
        <f>(G19/G20)</f>
        <v>1.4309669435511989</v>
      </c>
      <c r="E22" s="9"/>
      <c r="F22" s="9"/>
      <c r="G22" s="9"/>
    </row>
    <row r="23" spans="3:18" ht="15" thickBot="1" x14ac:dyDescent="0.35">
      <c r="C23" s="2"/>
      <c r="D23" s="1"/>
      <c r="E23" s="1"/>
      <c r="F23" s="1"/>
      <c r="G23" s="1"/>
    </row>
    <row r="24" spans="3:18" ht="15" thickBot="1" x14ac:dyDescent="0.35">
      <c r="C24" s="2"/>
      <c r="D24" s="1"/>
      <c r="E24" s="1"/>
      <c r="F24" s="1"/>
      <c r="G24" s="1"/>
      <c r="K24" s="27" t="s">
        <v>14</v>
      </c>
      <c r="L24" s="28">
        <v>10</v>
      </c>
      <c r="M24" s="28">
        <v>5242927</v>
      </c>
      <c r="N24" s="28">
        <v>4632</v>
      </c>
      <c r="O24" s="28">
        <v>6389</v>
      </c>
      <c r="P24" s="28">
        <f>(L24*M24)-(N24*O24)</f>
        <v>22835422</v>
      </c>
      <c r="Q24" s="28"/>
      <c r="R24" s="28"/>
    </row>
    <row r="25" spans="3:18" ht="15" thickBot="1" x14ac:dyDescent="0.35">
      <c r="C25" s="11" t="s">
        <v>9</v>
      </c>
      <c r="D25" s="12">
        <v>638.9</v>
      </c>
      <c r="E25" s="12">
        <f>D16*D22</f>
        <v>662.82388825291537</v>
      </c>
      <c r="F25" s="1"/>
      <c r="G25" s="10"/>
      <c r="K25" s="29"/>
      <c r="L25" s="28">
        <v>10</v>
      </c>
      <c r="M25" s="28">
        <v>3741346</v>
      </c>
      <c r="N25" s="28">
        <f>D15*D15</f>
        <v>21455424</v>
      </c>
      <c r="O25" s="28">
        <v>7604693</v>
      </c>
      <c r="P25" s="28">
        <f>E15*E15</f>
        <v>40819321</v>
      </c>
      <c r="Q25" s="28">
        <f>(L25*M25-N25)*(L25*O25-P25)</f>
        <v>562163452615924</v>
      </c>
      <c r="R25" s="28">
        <f>SQRT(Q25)</f>
        <v>23709986.347864565</v>
      </c>
    </row>
    <row r="26" spans="3:18" ht="15" thickBot="1" x14ac:dyDescent="0.35">
      <c r="C26" s="11" t="s">
        <v>10</v>
      </c>
      <c r="D26" s="14">
        <f>(D25-E25)</f>
        <v>-23.92388825291539</v>
      </c>
      <c r="E26" s="13"/>
      <c r="F26" s="1"/>
      <c r="G26" s="1"/>
      <c r="K26" s="29"/>
      <c r="L26" s="29"/>
      <c r="M26" s="29"/>
      <c r="N26" s="29"/>
      <c r="O26" s="29"/>
      <c r="P26" s="29"/>
      <c r="Q26" s="29"/>
      <c r="R26" s="29"/>
    </row>
    <row r="27" spans="3:18" ht="15" thickBot="1" x14ac:dyDescent="0.35">
      <c r="C27" s="2"/>
      <c r="D27" s="1"/>
      <c r="E27" s="1"/>
      <c r="F27" s="1"/>
      <c r="G27" s="1"/>
      <c r="K27" s="27" t="s">
        <v>15</v>
      </c>
      <c r="L27" s="30">
        <f>P24/R25</f>
        <v>0.96311409314905272</v>
      </c>
    </row>
    <row r="28" spans="3:18" ht="15" thickBot="1" x14ac:dyDescent="0.35">
      <c r="C28" s="2"/>
      <c r="D28" s="1"/>
      <c r="E28" s="1"/>
      <c r="F28" s="1"/>
      <c r="G28" s="1"/>
    </row>
    <row r="29" spans="3:18" ht="15" thickBot="1" x14ac:dyDescent="0.35">
      <c r="C29" s="15" t="s">
        <v>12</v>
      </c>
      <c r="D29" s="16">
        <v>386</v>
      </c>
      <c r="E29" s="18" t="s">
        <v>13</v>
      </c>
      <c r="F29" s="1"/>
      <c r="G29" s="1"/>
    </row>
    <row r="30" spans="3:18" ht="15" thickBot="1" x14ac:dyDescent="0.35">
      <c r="C30" s="15" t="s">
        <v>11</v>
      </c>
      <c r="D30" s="16">
        <f>(D25-E25)</f>
        <v>-23.92388825291539</v>
      </c>
      <c r="E30" s="16">
        <f>(G19/G20)</f>
        <v>1.4309669435511989</v>
      </c>
      <c r="F30" s="1"/>
      <c r="G30" s="1"/>
    </row>
    <row r="31" spans="3:18" ht="15" thickBot="1" x14ac:dyDescent="0.35">
      <c r="C31" s="15" t="s">
        <v>11</v>
      </c>
      <c r="D31" s="17">
        <f>D30+E30*D29</f>
        <v>528.42935195784742</v>
      </c>
      <c r="E31" s="1"/>
      <c r="F31" s="1"/>
      <c r="G31" s="1"/>
      <c r="K31" s="31" t="s">
        <v>16</v>
      </c>
      <c r="L31" s="32">
        <f>L27*L27</f>
        <v>0.92758875642232219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75F3-0067-427F-9868-57455FA07DFA}">
  <dimension ref="C3:R31"/>
  <sheetViews>
    <sheetView tabSelected="1" topLeftCell="A25" zoomScale="79" workbookViewId="0">
      <selection activeCell="R25" sqref="R25"/>
    </sheetView>
  </sheetViews>
  <sheetFormatPr baseColWidth="10" defaultRowHeight="14.4" x14ac:dyDescent="0.3"/>
  <cols>
    <col min="4" max="4" width="15" customWidth="1"/>
    <col min="5" max="5" width="19.44140625" customWidth="1"/>
    <col min="6" max="6" width="13.88671875" customWidth="1"/>
    <col min="7" max="7" width="13.6640625" customWidth="1"/>
    <col min="8" max="8" width="13.44140625" customWidth="1"/>
  </cols>
  <sheetData>
    <row r="3" spans="3:8" ht="15" thickBot="1" x14ac:dyDescent="0.35"/>
    <row r="4" spans="3:8" ht="15" thickBot="1" x14ac:dyDescent="0.35">
      <c r="C4" s="19" t="s">
        <v>0</v>
      </c>
      <c r="D4" s="19" t="s">
        <v>1</v>
      </c>
      <c r="E4" s="19" t="s">
        <v>2</v>
      </c>
      <c r="F4" s="19" t="s">
        <v>4</v>
      </c>
      <c r="G4" s="19" t="s">
        <v>5</v>
      </c>
      <c r="H4" s="19" t="s">
        <v>6</v>
      </c>
    </row>
    <row r="5" spans="3:8" ht="15" thickBot="1" x14ac:dyDescent="0.35">
      <c r="C5" s="20">
        <v>1</v>
      </c>
      <c r="D5" s="20">
        <v>163</v>
      </c>
      <c r="E5" s="20">
        <v>15</v>
      </c>
      <c r="F5" s="20">
        <f>D5*D5</f>
        <v>26569</v>
      </c>
      <c r="G5" s="20">
        <f>(D5*E5)</f>
        <v>2445</v>
      </c>
      <c r="H5" s="20">
        <f>(E5*E5)</f>
        <v>225</v>
      </c>
    </row>
    <row r="6" spans="3:8" ht="15" thickBot="1" x14ac:dyDescent="0.35">
      <c r="C6" s="20">
        <v>2</v>
      </c>
      <c r="D6" s="20">
        <v>765</v>
      </c>
      <c r="E6" s="20">
        <v>69.900000000000006</v>
      </c>
      <c r="F6" s="20">
        <f t="shared" ref="F6:F14" si="0">D6*D6</f>
        <v>585225</v>
      </c>
      <c r="G6" s="20">
        <f t="shared" ref="G6:G14" si="1">(D6*E6)</f>
        <v>53473.500000000007</v>
      </c>
      <c r="H6" s="20">
        <f t="shared" ref="H6:H14" si="2">(E6*E6)</f>
        <v>4886.0100000000011</v>
      </c>
    </row>
    <row r="7" spans="3:8" ht="15" thickBot="1" x14ac:dyDescent="0.35">
      <c r="C7" s="20">
        <v>3</v>
      </c>
      <c r="D7" s="20">
        <v>141</v>
      </c>
      <c r="E7" s="20">
        <v>6.5</v>
      </c>
      <c r="F7" s="20">
        <f t="shared" si="0"/>
        <v>19881</v>
      </c>
      <c r="G7" s="20">
        <f t="shared" si="1"/>
        <v>916.5</v>
      </c>
      <c r="H7" s="20">
        <f t="shared" si="2"/>
        <v>42.25</v>
      </c>
    </row>
    <row r="8" spans="3:8" ht="15" thickBot="1" x14ac:dyDescent="0.35">
      <c r="C8" s="20">
        <v>4</v>
      </c>
      <c r="D8" s="20">
        <v>166</v>
      </c>
      <c r="E8" s="20">
        <v>22.4</v>
      </c>
      <c r="F8" s="20">
        <f t="shared" si="0"/>
        <v>27556</v>
      </c>
      <c r="G8" s="20">
        <f t="shared" si="1"/>
        <v>3718.3999999999996</v>
      </c>
      <c r="H8" s="20">
        <f t="shared" si="2"/>
        <v>501.75999999999993</v>
      </c>
    </row>
    <row r="9" spans="3:8" ht="15" thickBot="1" x14ac:dyDescent="0.35">
      <c r="C9" s="20">
        <v>5</v>
      </c>
      <c r="D9" s="20">
        <v>137</v>
      </c>
      <c r="E9" s="20">
        <v>28.4</v>
      </c>
      <c r="F9" s="20">
        <f t="shared" si="0"/>
        <v>18769</v>
      </c>
      <c r="G9" s="20">
        <f t="shared" si="1"/>
        <v>3890.7999999999997</v>
      </c>
      <c r="H9" s="20">
        <f t="shared" si="2"/>
        <v>806.56</v>
      </c>
    </row>
    <row r="10" spans="3:8" ht="15" thickBot="1" x14ac:dyDescent="0.35">
      <c r="C10" s="20">
        <v>6</v>
      </c>
      <c r="D10" s="20">
        <v>355</v>
      </c>
      <c r="E10" s="20">
        <v>65.900000000000006</v>
      </c>
      <c r="F10" s="20">
        <f t="shared" si="0"/>
        <v>126025</v>
      </c>
      <c r="G10" s="20">
        <f t="shared" si="1"/>
        <v>23394.500000000004</v>
      </c>
      <c r="H10" s="20">
        <f t="shared" si="2"/>
        <v>4342.8100000000004</v>
      </c>
    </row>
    <row r="11" spans="3:8" ht="15" thickBot="1" x14ac:dyDescent="0.35">
      <c r="C11" s="20">
        <v>7</v>
      </c>
      <c r="D11" s="20">
        <v>136</v>
      </c>
      <c r="E11" s="20">
        <v>19.399999999999999</v>
      </c>
      <c r="F11" s="20">
        <f t="shared" si="0"/>
        <v>18496</v>
      </c>
      <c r="G11" s="20">
        <f t="shared" si="1"/>
        <v>2638.3999999999996</v>
      </c>
      <c r="H11" s="20">
        <f t="shared" si="2"/>
        <v>376.35999999999996</v>
      </c>
    </row>
    <row r="12" spans="3:8" ht="15" thickBot="1" x14ac:dyDescent="0.35">
      <c r="C12" s="20">
        <v>8</v>
      </c>
      <c r="D12" s="20">
        <v>1206</v>
      </c>
      <c r="E12" s="20">
        <v>198.7</v>
      </c>
      <c r="F12" s="20">
        <f t="shared" si="0"/>
        <v>1454436</v>
      </c>
      <c r="G12" s="20">
        <f t="shared" si="1"/>
        <v>239632.19999999998</v>
      </c>
      <c r="H12" s="20">
        <f t="shared" si="2"/>
        <v>39481.689999999995</v>
      </c>
    </row>
    <row r="13" spans="3:8" ht="15" thickBot="1" x14ac:dyDescent="0.35">
      <c r="C13" s="20">
        <v>9</v>
      </c>
      <c r="D13" s="20">
        <v>433</v>
      </c>
      <c r="E13" s="20">
        <v>38.799999999999997</v>
      </c>
      <c r="F13" s="20">
        <f t="shared" si="0"/>
        <v>187489</v>
      </c>
      <c r="G13" s="20">
        <f t="shared" si="1"/>
        <v>16800.399999999998</v>
      </c>
      <c r="H13" s="20">
        <f t="shared" si="2"/>
        <v>1505.4399999999998</v>
      </c>
    </row>
    <row r="14" spans="3:8" ht="15" thickBot="1" x14ac:dyDescent="0.35">
      <c r="C14" s="22">
        <v>10</v>
      </c>
      <c r="D14" s="22">
        <v>1130</v>
      </c>
      <c r="E14" s="22">
        <v>138.19999999999999</v>
      </c>
      <c r="F14" s="20">
        <f t="shared" si="0"/>
        <v>1276900</v>
      </c>
      <c r="G14" s="20">
        <f t="shared" si="1"/>
        <v>156166</v>
      </c>
      <c r="H14" s="20">
        <f t="shared" si="2"/>
        <v>19099.239999999998</v>
      </c>
    </row>
    <row r="15" spans="3:8" ht="15" thickBot="1" x14ac:dyDescent="0.35">
      <c r="C15" s="23" t="s">
        <v>3</v>
      </c>
      <c r="D15" s="24">
        <f>SUM(D5:D14)</f>
        <v>4632</v>
      </c>
      <c r="E15" s="24">
        <f>SUM(E5:E14)</f>
        <v>603.20000000000005</v>
      </c>
      <c r="F15" s="24">
        <f t="shared" ref="F15:H15" si="3">SUM(F5:F14)</f>
        <v>3741346</v>
      </c>
      <c r="G15" s="24">
        <f t="shared" si="3"/>
        <v>503075.7</v>
      </c>
      <c r="H15" s="24">
        <f t="shared" si="3"/>
        <v>71267.12</v>
      </c>
    </row>
    <row r="16" spans="3:8" ht="15" thickBot="1" x14ac:dyDescent="0.35">
      <c r="C16" s="25"/>
      <c r="D16" s="26">
        <f>AVERAGE(D5:D14)</f>
        <v>463.2</v>
      </c>
      <c r="E16" s="26">
        <f>AVERAGE(E5:E14)</f>
        <v>60.320000000000007</v>
      </c>
      <c r="F16" s="25"/>
      <c r="G16" s="25"/>
      <c r="H16" s="25"/>
    </row>
    <row r="18" spans="3:18" ht="15" thickBot="1" x14ac:dyDescent="0.35"/>
    <row r="19" spans="3:18" ht="15" thickBot="1" x14ac:dyDescent="0.35">
      <c r="C19" s="3" t="s">
        <v>7</v>
      </c>
      <c r="D19" s="4">
        <v>503075.7</v>
      </c>
      <c r="E19" s="5">
        <v>463.2</v>
      </c>
      <c r="F19" s="5">
        <v>603.20000000000005</v>
      </c>
      <c r="G19" s="5">
        <f>D19-(E19*F19)</f>
        <v>223673.46000000002</v>
      </c>
    </row>
    <row r="20" spans="3:18" ht="15" thickBot="1" x14ac:dyDescent="0.35">
      <c r="C20" s="6"/>
      <c r="D20" s="7">
        <v>3741346</v>
      </c>
      <c r="E20" s="7">
        <f>D16*D16</f>
        <v>214554.23999999999</v>
      </c>
      <c r="F20" s="7"/>
      <c r="G20" s="7">
        <f>D20-(10*E20)</f>
        <v>1595803.6</v>
      </c>
    </row>
    <row r="21" spans="3:18" ht="15" thickBot="1" x14ac:dyDescent="0.35">
      <c r="C21" s="6"/>
      <c r="D21" s="7"/>
      <c r="E21" s="7"/>
      <c r="F21" s="7"/>
      <c r="G21" s="7"/>
    </row>
    <row r="22" spans="3:18" ht="15" thickBot="1" x14ac:dyDescent="0.35">
      <c r="C22" s="3" t="s">
        <v>8</v>
      </c>
      <c r="D22" s="8">
        <f>(G19/G20)</f>
        <v>0.14016352638883633</v>
      </c>
      <c r="E22" s="9"/>
      <c r="F22" s="9"/>
      <c r="G22" s="9"/>
    </row>
    <row r="23" spans="3:18" ht="15" thickBot="1" x14ac:dyDescent="0.35">
      <c r="C23" s="2"/>
      <c r="D23" s="1"/>
      <c r="E23" s="1"/>
      <c r="F23" s="1"/>
      <c r="G23" s="1"/>
    </row>
    <row r="24" spans="3:18" ht="15" thickBot="1" x14ac:dyDescent="0.35">
      <c r="C24" s="2"/>
      <c r="D24" s="1"/>
      <c r="E24" s="1"/>
      <c r="F24" s="1"/>
      <c r="G24" s="1"/>
      <c r="K24" s="27" t="s">
        <v>14</v>
      </c>
      <c r="L24" s="28">
        <v>10</v>
      </c>
      <c r="M24" s="28">
        <v>503075.7</v>
      </c>
      <c r="N24" s="28">
        <v>4632</v>
      </c>
      <c r="O24" s="28">
        <v>603.20000000000005</v>
      </c>
      <c r="P24" s="28">
        <f>(L24*M24)-(N24*O24)</f>
        <v>2236734.5999999996</v>
      </c>
      <c r="Q24" s="28"/>
      <c r="R24" s="28"/>
    </row>
    <row r="25" spans="3:18" ht="15" thickBot="1" x14ac:dyDescent="0.35">
      <c r="C25" s="11" t="s">
        <v>9</v>
      </c>
      <c r="D25" s="12">
        <v>60.32</v>
      </c>
      <c r="E25" s="12">
        <f>D16*D22</f>
        <v>64.923745423308986</v>
      </c>
      <c r="F25" s="1"/>
      <c r="G25" s="10"/>
      <c r="K25" s="29"/>
      <c r="L25" s="28">
        <v>10</v>
      </c>
      <c r="M25" s="28">
        <v>3741346</v>
      </c>
      <c r="N25" s="28">
        <f>D15*D15</f>
        <v>21455424</v>
      </c>
      <c r="O25" s="28">
        <v>71267.12</v>
      </c>
      <c r="P25" s="28">
        <f>E15*E15</f>
        <v>363850.24000000005</v>
      </c>
      <c r="Q25" s="28">
        <f>(L25*M25-N25)*(L25*O25-P25)</f>
        <v>5566497437234.5586</v>
      </c>
      <c r="R25" s="28">
        <f>SQRT(Q25)</f>
        <v>2359342.5858138022</v>
      </c>
    </row>
    <row r="26" spans="3:18" ht="15" thickBot="1" x14ac:dyDescent="0.35">
      <c r="C26" s="11" t="s">
        <v>10</v>
      </c>
      <c r="D26" s="14">
        <f>(D25-E25)</f>
        <v>-4.6037454233089861</v>
      </c>
      <c r="E26" s="13"/>
      <c r="F26" s="1"/>
      <c r="G26" s="1"/>
      <c r="K26" s="29"/>
      <c r="L26" s="29"/>
      <c r="M26" s="29"/>
      <c r="N26" s="29"/>
      <c r="O26" s="29"/>
      <c r="P26" s="29"/>
      <c r="Q26" s="29"/>
      <c r="R26" s="29"/>
    </row>
    <row r="27" spans="3:18" ht="15" thickBot="1" x14ac:dyDescent="0.35">
      <c r="C27" s="2"/>
      <c r="D27" s="1"/>
      <c r="E27" s="1"/>
      <c r="F27" s="1"/>
      <c r="G27" s="1"/>
      <c r="K27" s="27" t="s">
        <v>15</v>
      </c>
      <c r="L27" s="30">
        <f>P24/R25</f>
        <v>0.94803298743005071</v>
      </c>
    </row>
    <row r="28" spans="3:18" ht="15" thickBot="1" x14ac:dyDescent="0.35">
      <c r="C28" s="2"/>
      <c r="D28" s="1"/>
      <c r="E28" s="1"/>
      <c r="F28" s="1"/>
      <c r="G28" s="1"/>
    </row>
    <row r="29" spans="3:18" ht="15" thickBot="1" x14ac:dyDescent="0.35">
      <c r="C29" s="15" t="s">
        <v>12</v>
      </c>
      <c r="D29" s="16">
        <v>386</v>
      </c>
      <c r="E29" s="18" t="s">
        <v>13</v>
      </c>
      <c r="F29" s="1"/>
      <c r="G29" s="1"/>
    </row>
    <row r="30" spans="3:18" ht="15" thickBot="1" x14ac:dyDescent="0.35">
      <c r="C30" s="15" t="s">
        <v>11</v>
      </c>
      <c r="D30" s="16">
        <f>(D25-E25)</f>
        <v>-4.6037454233089861</v>
      </c>
      <c r="E30" s="16">
        <f>(G19/G20)</f>
        <v>0.14016352638883633</v>
      </c>
      <c r="F30" s="1"/>
      <c r="G30" s="1"/>
    </row>
    <row r="31" spans="3:18" ht="15" thickBot="1" x14ac:dyDescent="0.35">
      <c r="C31" s="15" t="s">
        <v>11</v>
      </c>
      <c r="D31" s="17">
        <f>D30+E30*D29</f>
        <v>49.499375762781838</v>
      </c>
      <c r="E31" s="1"/>
      <c r="F31" s="1"/>
      <c r="G31" s="1"/>
      <c r="K31" s="31" t="s">
        <v>16</v>
      </c>
      <c r="L31" s="32">
        <f>L27*L27</f>
        <v>0.89876654525554667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TEST4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ROLDAN VIVANCO DIEGO NOE</dc:creator>
  <cp:lastModifiedBy>ROLDAN VIVANCO DIEGO NOE</cp:lastModifiedBy>
  <dcterms:created xsi:type="dcterms:W3CDTF">2025-11-19T20:09:09Z</dcterms:created>
  <dcterms:modified xsi:type="dcterms:W3CDTF">2025-11-20T21:27:41Z</dcterms:modified>
</cp:coreProperties>
</file>